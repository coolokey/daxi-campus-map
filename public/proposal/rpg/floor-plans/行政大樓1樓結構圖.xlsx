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1151013---分析兩個網站的github\"/>
    </mc:Choice>
  </mc:AlternateContent>
  <xr:revisionPtr revIDLastSave="0" documentId="13_ncr:1_{8F9EF6C7-C995-41C5-AD14-B4E5D5CD98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F結構圖_方案A(橫向貫穿)" sheetId="1" r:id="rId1"/>
    <sheet name="1F結構圖_方案B(前棟穿堂貫穿)" sheetId="2" r:id="rId2"/>
    <sheet name="1F結構圖_方案C(全貫穿)" sheetId="3" r:id="rId3"/>
    <sheet name="行政大樓1樓空間明細表" sheetId="4" r:id="rId4"/>
    <sheet name="行政大樓2樓結構圖" sheetId="5" r:id="rId5"/>
    <sheet name="行政大樓3樓結構圖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4" l="1"/>
  <c r="C16" i="4"/>
  <c r="C15" i="4"/>
  <c r="C14" i="4"/>
</calcChain>
</file>

<file path=xl/sharedStrings.xml><?xml version="1.0" encoding="utf-8"?>
<sst xmlns="http://schemas.openxmlformats.org/spreadsheetml/2006/main" count="147" uniqueCount="99">
  <si>
    <t>大溪國中 115 學年度 — 行政大樓 1 樓結構圖【方案 A：中央穿堂橫向貫穿至通廊】</t>
  </si>
  <si>
    <t>1.學務處完整一大格 ｜ 2.右上改「會客室(1F)」 ｜ 3.右下改「教練室(1F)」 ｜ 4.中央穿堂向東貫穿至通廊</t>
  </si>
  <si>
    <t>後棟 1F-西</t>
  </si>
  <si>
    <t>中段
樓梯</t>
  </si>
  <si>
    <t>男女廁
(WC)</t>
  </si>
  <si>
    <t>會客室 (1F)</t>
  </si>
  <si>
    <t>學務處
(1F)</t>
  </si>
  <si>
    <t>教練室 (1F)</t>
  </si>
  <si>
    <t>中央通廊 Breezeway
(1F 穿堂 — 向東貫穿至通廊)</t>
  </si>
  <si>
    <t>通廊 (Breezeway)</t>
  </si>
  <si>
    <t>前棟 1F (ADM-F-1F)</t>
  </si>
  <si>
    <t>八、九年級導師室 (1F)
（行政大樓前棟一樓・含主入口穿堂與校門側小入口）</t>
  </si>
  <si>
    <t>大溪國中 115 學年度 — 行政大樓 1 樓結構圖【方案 B：前棟穿堂縱向貫穿至中央通廊】</t>
  </si>
  <si>
    <t>1.學務處完整一大格 ｜ 2.右上改「會客室(1F)」 ｜ 3.右下改「教練室(1F)」 ｜ 4.前棟切出1F穿堂向北貫穿</t>
  </si>
  <si>
    <t>中央通廊
Breezeway
(連通前棟穿堂與後棟)</t>
  </si>
  <si>
    <t>通廊</t>
  </si>
  <si>
    <t>前棟 1F-西</t>
  </si>
  <si>
    <t>1F 中央穿堂
(主入口穿堂貫穿至通廊)</t>
  </si>
  <si>
    <t>前棟 1F-東</t>
  </si>
  <si>
    <t>八、九年級導師室
(1F 西側)</t>
  </si>
  <si>
    <t>八、九年級導師室
(1F 東側)</t>
  </si>
  <si>
    <t>大溪國中 115 學年度 — 行政大樓 1 樓結構圖【方案 C：前棟穿堂＋中央通廊 T 字全貫穿】</t>
  </si>
  <si>
    <t>1.學務處完整一大格 ｜ 2.右上改「會客室(1F)」 ｜ 3.右下改「教練室(1F)」 ｜ 4.前棟穿堂與中央通廊全貫穿</t>
  </si>
  <si>
    <t>中央通廊 Breezeway
(前棟 1F 穿堂向北、向東全貫穿至通廊)</t>
  </si>
  <si>
    <t>1F 中央穿堂
(正門穿堂直通中央通廊與東側通廊)</t>
  </si>
  <si>
    <t>桃園市立大溪國民中學 115 學年度 — 行政大樓 1 樓空間配置明細表（修正版）</t>
  </si>
  <si>
    <t>項次</t>
  </si>
  <si>
    <t>分區／棟別</t>
  </si>
  <si>
    <t>位置代碼</t>
  </si>
  <si>
    <t>空間名稱</t>
  </si>
  <si>
    <t>空間類別</t>
  </si>
  <si>
    <t>圖面相對位置（由西至東／由北至南）</t>
  </si>
  <si>
    <t>功能與動線說明（依修正後配置）</t>
  </si>
  <si>
    <t>後棟 1F (北側)</t>
  </si>
  <si>
    <t>學務處 (1F)</t>
  </si>
  <si>
    <t>行政處室／辦公室</t>
  </si>
  <si>
    <t>後棟西側完整一大格（中段樓梯以西全區）</t>
  </si>
  <si>
    <t>學生事務處辦公空間（完整一大格，東鄰中段樓梯）</t>
  </si>
  <si>
    <t>ADM-R-ST1</t>
  </si>
  <si>
    <t>中段樓梯</t>
  </si>
  <si>
    <t>樓梯／穿堂／通廊</t>
  </si>
  <si>
    <t>後棟中央（學務處東側、男女廁西側）</t>
  </si>
  <si>
    <t>連通行政大樓後棟 1F 至 3F 之垂直主樓梯</t>
  </si>
  <si>
    <t>ADM-R-WC1</t>
  </si>
  <si>
    <t>男女廁 (WC)</t>
  </si>
  <si>
    <t>廁所 (男女廁 WC)</t>
  </si>
  <si>
    <t>後棟中東側（中段樓梯東側）</t>
  </si>
  <si>
    <t>行政大樓後棟 1F 男女廁所</t>
  </si>
  <si>
    <t>後棟 1F-東北</t>
  </si>
  <si>
    <t>後棟最東側上方（北半部，原哺集乳室位置）</t>
  </si>
  <si>
    <t>家長與貴賓接待會客室（位於教練室北側）</t>
  </si>
  <si>
    <t>後棟 1F-東南</t>
  </si>
  <si>
    <t>後棟最東側下方（南半部，原會客室位置）</t>
  </si>
  <si>
    <t>體育團隊與教練辦公空間（位於會客室南側）</t>
  </si>
  <si>
    <t>中央連通區 1F</t>
  </si>
  <si>
    <t>ADM-C-1F</t>
  </si>
  <si>
    <t>中央通廊 Breezeway (1F 穿堂)</t>
  </si>
  <si>
    <t>前後棟中央交界處，向東貫穿至通廊</t>
  </si>
  <si>
    <t>連通前棟穿堂、後棟學務處／樓梯，並向東貫穿至通廊</t>
  </si>
  <si>
    <t>ADM-C-WC1</t>
  </si>
  <si>
    <t>中央連通區東側（通廊南側）</t>
  </si>
  <si>
    <t>中央連通區東側 1F 男女廁所</t>
  </si>
  <si>
    <t>ADM-C-CONN</t>
  </si>
  <si>
    <t>行政大樓東側外推連通道（與穿堂貫穿相連）</t>
  </si>
  <si>
    <t>由中央穿堂／通廊直接向東貫穿，連通九年級教學棟</t>
  </si>
  <si>
    <t>前棟 1F (南側)</t>
  </si>
  <si>
    <t>八、九年級導師室 (1F)</t>
  </si>
  <si>
    <t>前棟 1F（方案A全幅／方案B・C分為東西兩側）</t>
  </si>
  <si>
    <t>八、九年級導師辦公空間，含前棟主入口穿堂</t>
  </si>
  <si>
    <t>空間統計項目</t>
  </si>
  <si>
    <t>數量 (間／處)</t>
  </si>
  <si>
    <t>行政大樓 1F 空間總計</t>
  </si>
  <si>
    <t>桃園市立大溪國民中學 115 學年度 — 行政大樓 2 樓結構圖 (2F)</t>
  </si>
  <si>
    <t>圖例：【藍框】行政處室／辦公室 ｜ 【粉紅框】男女廁 (WC) ｜ 【灰框】樓梯／穿堂／通廊 ｜ 【綠框】專科教室</t>
  </si>
  <si>
    <t>後棟 2F-西</t>
  </si>
  <si>
    <t>後棟 2F-東</t>
  </si>
  <si>
    <t>總務處・人事室
會計室 (2F 西區)</t>
  </si>
  <si>
    <t>總務處・人事室
會計室 (2F 東區)</t>
  </si>
  <si>
    <t>2F 中央通廊
Breezeway
（前後棟空橋）</t>
  </si>
  <si>
    <t>2F
通廊</t>
  </si>
  <si>
    <t>前棟2F-西</t>
  </si>
  <si>
    <t>前棟2F</t>
  </si>
  <si>
    <t>2F 中央穿堂
（連通後棟）</t>
  </si>
  <si>
    <t>前棟 2F-東</t>
  </si>
  <si>
    <t>校長室
(2F)</t>
  </si>
  <si>
    <t>油印室
(2F)</t>
  </si>
  <si>
    <t>教務處
(2F)</t>
  </si>
  <si>
    <t>桃園市立大溪國民中學 115 學年度 — 行政大樓 3 樓結構圖 (3F)</t>
  </si>
  <si>
    <t>後棟 3F-西</t>
  </si>
  <si>
    <t>後棟 3F-東</t>
  </si>
  <si>
    <t>專任辦公室
（後棟 3F）</t>
  </si>
  <si>
    <t>教師研習中心
(3F)</t>
  </si>
  <si>
    <t>3F 中央通廊
Breezeway
（前後棟空橋）</t>
  </si>
  <si>
    <t>3F
通廊</t>
  </si>
  <si>
    <t>前棟 3F-西</t>
  </si>
  <si>
    <t>3F 中央穿堂
（連通後棟）</t>
  </si>
  <si>
    <t>前棟 3F-東</t>
  </si>
  <si>
    <t>語言教室
(3F 專科教室)</t>
  </si>
  <si>
    <t>專任辦公室
（前棟 3F）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</si>
</sst>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scheme val="minor"/>
    </font>
    <font>
      <b/>
      <sz val="12.5"/>
      <color rgb="FFFFFFFF"/>
      <name val="Microsoft JhengHei"/>
      <family val="2"/>
      <charset val="136"/>
    </font>
    <font>
      <b/>
      <sz val="9.5"/>
      <color rgb="FF1E293B"/>
      <name val="Microsoft JhengHei"/>
      <family val="2"/>
      <charset val="136"/>
    </font>
    <font>
      <b/>
      <sz val="11"/>
      <color rgb="FF1D4ED8"/>
      <name val="Microsoft JhengHei"/>
      <family val="2"/>
      <charset val="136"/>
    </font>
    <font>
      <b/>
      <sz val="16"/>
      <color rgb="FF1E3A8A"/>
      <name val="Microsoft JhengHei"/>
      <family val="2"/>
      <charset val="136"/>
    </font>
    <font>
      <b/>
      <sz val="13"/>
      <color rgb="FF1E293B"/>
      <name val="Microsoft JhengHei"/>
      <family val="2"/>
      <charset val="136"/>
    </font>
    <font>
      <b/>
      <sz val="13"/>
      <color rgb="FF831843"/>
      <name val="Microsoft JhengHei"/>
      <family val="2"/>
      <charset val="136"/>
    </font>
    <font>
      <b/>
      <sz val="14"/>
      <color rgb="FF1E3A8A"/>
      <name val="Microsoft JhengHei"/>
      <family val="2"/>
      <charset val="136"/>
    </font>
    <font>
      <b/>
      <sz val="12"/>
      <color rgb="FF1E293B"/>
      <name val="Microsoft JhengHei"/>
      <family val="2"/>
      <charset val="136"/>
    </font>
    <font>
      <b/>
      <sz val="12"/>
      <color rgb="FF831843"/>
      <name val="Microsoft JhengHei"/>
      <family val="2"/>
      <charset val="136"/>
    </font>
    <font>
      <b/>
      <sz val="15"/>
      <color rgb="FFFFFFFF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b/>
      <sz val="11"/>
      <color rgb="FF0F172A"/>
      <name val="Microsoft JhengHei"/>
      <family val="2"/>
      <charset val="136"/>
    </font>
    <font>
      <sz val="11"/>
      <color rgb="FF0F172A"/>
      <name val="Microsoft JhengHei"/>
      <family val="2"/>
      <charset val="136"/>
    </font>
    <font>
      <b/>
      <sz val="15"/>
      <color rgb="FF1E3A8A"/>
      <name val="Microsoft JhengHei"/>
      <family val="2"/>
      <charset val="136"/>
    </font>
    <font>
      <b/>
      <sz val="13"/>
      <color rgb="FF1E3A8A"/>
      <name val="Microsoft JhengHei"/>
      <family val="2"/>
      <charset val="136"/>
    </font>
    <font>
      <b/>
      <sz val="11"/>
      <color rgb="FF15803D"/>
      <name val="Microsoft JhengHei"/>
      <family val="2"/>
      <charset val="136"/>
    </font>
    <font>
      <b/>
      <sz val="14"/>
      <color rgb="FF14532D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E2E8F0"/>
        <bgColor rgb="FFE2E8F0"/>
      </patternFill>
    </fill>
    <fill>
      <patternFill patternType="solid">
        <fgColor rgb="FFF1F5F9"/>
        <bgColor rgb="FFF1F5F9"/>
      </patternFill>
    </fill>
    <fill>
      <patternFill patternType="solid">
        <fgColor rgb="FFFFFFFF"/>
        <bgColor rgb="FFFFFFFF"/>
      </patternFill>
    </fill>
    <fill>
      <patternFill patternType="solid">
        <fgColor rgb="FFDBEAFE"/>
        <bgColor rgb="FFDBEAFE"/>
      </patternFill>
    </fill>
    <fill>
      <patternFill patternType="solid">
        <fgColor rgb="FFFCE7F3"/>
        <bgColor rgb="FFFCE7F3"/>
      </patternFill>
    </fill>
    <fill>
      <patternFill patternType="solid">
        <fgColor rgb="FF1E3A8A"/>
        <bgColor rgb="FF1E3A8A"/>
      </patternFill>
    </fill>
    <fill>
      <patternFill patternType="solid">
        <fgColor rgb="FF334155"/>
        <bgColor rgb="FF334155"/>
      </patternFill>
    </fill>
    <fill>
      <patternFill patternType="solid">
        <fgColor rgb="FFFEF08A"/>
        <bgColor rgb="FFFEF08A"/>
      </patternFill>
    </fill>
    <fill>
      <patternFill patternType="solid">
        <fgColor rgb="FFBBF7D0"/>
        <bgColor rgb="FFBBF7D0"/>
      </patternFill>
    </fill>
  </fills>
  <borders count="47">
    <border>
      <left/>
      <right/>
      <top/>
      <bottom/>
      <diagonal/>
    </border>
    <border>
      <left style="thick">
        <color rgb="FF475569"/>
      </left>
      <right/>
      <top style="thick">
        <color rgb="FF475569"/>
      </top>
      <bottom/>
      <diagonal/>
    </border>
    <border>
      <left/>
      <right/>
      <top style="thick">
        <color rgb="FF475569"/>
      </top>
      <bottom/>
      <diagonal/>
    </border>
    <border>
      <left/>
      <right style="thick">
        <color rgb="FF475569"/>
      </right>
      <top style="thick">
        <color rgb="FF475569"/>
      </top>
      <bottom/>
      <diagonal/>
    </border>
    <border>
      <left style="thick">
        <color rgb="FF475569"/>
      </left>
      <right/>
      <top/>
      <bottom/>
      <diagonal/>
    </border>
    <border>
      <left/>
      <right/>
      <top/>
      <bottom/>
      <diagonal/>
    </border>
    <border>
      <left/>
      <right style="thick">
        <color rgb="FF475569"/>
      </right>
      <top/>
      <bottom/>
      <diagonal/>
    </border>
    <border>
      <left style="thick">
        <color rgb="FF475569"/>
      </left>
      <right/>
      <top/>
      <bottom style="thick">
        <color rgb="FF475569"/>
      </bottom>
      <diagonal/>
    </border>
    <border>
      <left/>
      <right/>
      <top/>
      <bottom style="thick">
        <color rgb="FF475569"/>
      </bottom>
      <diagonal/>
    </border>
    <border>
      <left/>
      <right style="thick">
        <color rgb="FF475569"/>
      </right>
      <top/>
      <bottom style="thick">
        <color rgb="FF475569"/>
      </bottom>
      <diagonal/>
    </border>
    <border>
      <left style="medium">
        <color rgb="FF1D4ED8"/>
      </left>
      <right/>
      <top style="medium">
        <color rgb="FF1D4ED8"/>
      </top>
      <bottom style="medium">
        <color rgb="FF1D4ED8"/>
      </bottom>
      <diagonal/>
    </border>
    <border>
      <left/>
      <right/>
      <top style="medium">
        <color rgb="FF1D4ED8"/>
      </top>
      <bottom style="medium">
        <color rgb="FF1D4ED8"/>
      </bottom>
      <diagonal/>
    </border>
    <border>
      <left/>
      <right style="medium">
        <color rgb="FF1D4ED8"/>
      </right>
      <top style="medium">
        <color rgb="FF1D4ED8"/>
      </top>
      <bottom style="medium">
        <color rgb="FF1D4ED8"/>
      </bottom>
      <diagonal/>
    </border>
    <border>
      <left style="medium">
        <color rgb="FF1D4ED8"/>
      </left>
      <right/>
      <top style="medium">
        <color rgb="FF1D4ED8"/>
      </top>
      <bottom/>
      <diagonal/>
    </border>
    <border>
      <left/>
      <right/>
      <top style="medium">
        <color rgb="FF1D4ED8"/>
      </top>
      <bottom/>
      <diagonal/>
    </border>
    <border>
      <left/>
      <right style="medium">
        <color rgb="FF1D4ED8"/>
      </right>
      <top style="medium">
        <color rgb="FF1D4ED8"/>
      </top>
      <bottom/>
      <diagonal/>
    </border>
    <border>
      <left style="medium">
        <color rgb="FF1D4ED8"/>
      </left>
      <right/>
      <top/>
      <bottom/>
      <diagonal/>
    </border>
    <border>
      <left/>
      <right style="medium">
        <color rgb="FF1D4ED8"/>
      </right>
      <top/>
      <bottom/>
      <diagonal/>
    </border>
    <border>
      <left style="medium">
        <color rgb="FF1D4ED8"/>
      </left>
      <right/>
      <top/>
      <bottom style="medium">
        <color rgb="FF1D4ED8"/>
      </bottom>
      <diagonal/>
    </border>
    <border>
      <left/>
      <right/>
      <top/>
      <bottom style="medium">
        <color rgb="FF1D4ED8"/>
      </bottom>
      <diagonal/>
    </border>
    <border>
      <left/>
      <right style="medium">
        <color rgb="FF1D4ED8"/>
      </right>
      <top/>
      <bottom style="medium">
        <color rgb="FF1D4ED8"/>
      </bottom>
      <diagonal/>
    </border>
    <border>
      <left style="medium">
        <color rgb="FF475569"/>
      </left>
      <right style="medium">
        <color rgb="FF475569"/>
      </right>
      <top style="medium">
        <color rgb="FF475569"/>
      </top>
      <bottom/>
      <diagonal/>
    </border>
    <border>
      <left style="medium">
        <color rgb="FF475569"/>
      </left>
      <right style="medium">
        <color rgb="FF475569"/>
      </right>
      <top/>
      <bottom/>
      <diagonal/>
    </border>
    <border>
      <left style="medium">
        <color rgb="FF475569"/>
      </left>
      <right style="medium">
        <color rgb="FF475569"/>
      </right>
      <top/>
      <bottom style="medium">
        <color rgb="FF475569"/>
      </bottom>
      <diagonal/>
    </border>
    <border>
      <left style="medium">
        <color rgb="FFBE185D"/>
      </left>
      <right/>
      <top style="medium">
        <color rgb="FFBE185D"/>
      </top>
      <bottom/>
      <diagonal/>
    </border>
    <border>
      <left/>
      <right style="medium">
        <color rgb="FFBE185D"/>
      </right>
      <top style="medium">
        <color rgb="FFBE185D"/>
      </top>
      <bottom/>
      <diagonal/>
    </border>
    <border>
      <left style="medium">
        <color rgb="FFBE185D"/>
      </left>
      <right/>
      <top/>
      <bottom/>
      <diagonal/>
    </border>
    <border>
      <left/>
      <right style="medium">
        <color rgb="FFBE185D"/>
      </right>
      <top/>
      <bottom/>
      <diagonal/>
    </border>
    <border>
      <left style="medium">
        <color rgb="FFBE185D"/>
      </left>
      <right/>
      <top/>
      <bottom style="medium">
        <color rgb="FFBE185D"/>
      </bottom>
      <diagonal/>
    </border>
    <border>
      <left/>
      <right style="medium">
        <color rgb="FFBE185D"/>
      </right>
      <top/>
      <bottom style="medium">
        <color rgb="FFBE185D"/>
      </bottom>
      <diagonal/>
    </border>
    <border>
      <left style="medium">
        <color rgb="FF475569"/>
      </left>
      <right/>
      <top style="medium">
        <color rgb="FF475569"/>
      </top>
      <bottom/>
      <diagonal/>
    </border>
    <border>
      <left/>
      <right/>
      <top style="medium">
        <color rgb="FF475569"/>
      </top>
      <bottom/>
      <diagonal/>
    </border>
    <border>
      <left/>
      <right style="medium">
        <color rgb="FF475569"/>
      </right>
      <top style="medium">
        <color rgb="FF475569"/>
      </top>
      <bottom/>
      <diagonal/>
    </border>
    <border>
      <left style="medium">
        <color rgb="FF475569"/>
      </left>
      <right/>
      <top/>
      <bottom/>
      <diagonal/>
    </border>
    <border>
      <left/>
      <right style="medium">
        <color rgb="FF475569"/>
      </right>
      <top/>
      <bottom/>
      <diagonal/>
    </border>
    <border>
      <left style="medium">
        <color rgb="FF475569"/>
      </left>
      <right/>
      <top/>
      <bottom style="medium">
        <color rgb="FF475569"/>
      </bottom>
      <diagonal/>
    </border>
    <border>
      <left/>
      <right/>
      <top/>
      <bottom style="medium">
        <color rgb="FF475569"/>
      </bottom>
      <diagonal/>
    </border>
    <border>
      <left/>
      <right style="medium">
        <color rgb="FF475569"/>
      </right>
      <top/>
      <bottom style="medium">
        <color rgb="FF475569"/>
      </bottom>
      <diagonal/>
    </border>
    <border>
      <left style="medium">
        <color rgb="FFBE185D"/>
      </left>
      <right style="medium">
        <color rgb="FFBE185D"/>
      </right>
      <top style="medium">
        <color rgb="FFBE185D"/>
      </top>
      <bottom/>
      <diagonal/>
    </border>
    <border>
      <left style="medium">
        <color rgb="FFBE185D"/>
      </left>
      <right style="medium">
        <color rgb="FFBE185D"/>
      </right>
      <top/>
      <bottom/>
      <diagonal/>
    </border>
    <border>
      <left style="medium">
        <color rgb="FFBE185D"/>
      </left>
      <right style="medium">
        <color rgb="FFBE185D"/>
      </right>
      <top/>
      <bottom style="medium">
        <color rgb="FFBE185D"/>
      </bottom>
      <diagonal/>
    </border>
    <border>
      <left style="medium">
        <color rgb="FF475569"/>
      </left>
      <right/>
      <top style="medium">
        <color rgb="FF475569"/>
      </top>
      <bottom style="medium">
        <color rgb="FF475569"/>
      </bottom>
      <diagonal/>
    </border>
    <border>
      <left/>
      <right style="medium">
        <color rgb="FF475569"/>
      </right>
      <top style="medium">
        <color rgb="FF475569"/>
      </top>
      <bottom style="medium">
        <color rgb="FF4755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D4ED8"/>
      </left>
      <right style="medium">
        <color rgb="FF1D4ED8"/>
      </right>
      <top style="medium">
        <color rgb="FF1D4ED8"/>
      </top>
      <bottom style="medium">
        <color rgb="FF1D4ED8"/>
      </bottom>
      <diagonal/>
    </border>
    <border>
      <left style="medium">
        <color rgb="FF15803D"/>
      </left>
      <right/>
      <top style="medium">
        <color rgb="FF15803D"/>
      </top>
      <bottom style="medium">
        <color rgb="FF15803D"/>
      </bottom>
      <diagonal/>
    </border>
    <border>
      <left/>
      <right style="medium">
        <color rgb="FF15803D"/>
      </right>
      <top style="medium">
        <color rgb="FF15803D"/>
      </top>
      <bottom style="medium">
        <color rgb="FF15803D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6" xfId="0" applyFill="1" applyBorder="1"/>
    <xf numFmtId="0" fontId="0" fillId="4" borderId="5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11" fillId="8" borderId="0" xfId="0" applyFont="1" applyFill="1" applyAlignment="1">
      <alignment horizontal="center" vertical="center"/>
    </xf>
    <xf numFmtId="0" fontId="12" fillId="0" borderId="43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2" fillId="6" borderId="43" xfId="0" applyFont="1" applyFill="1" applyBorder="1" applyAlignment="1">
      <alignment horizontal="center" vertical="center" wrapText="1"/>
    </xf>
    <xf numFmtId="0" fontId="13" fillId="6" borderId="43" xfId="0" applyFont="1" applyFill="1" applyBorder="1" applyAlignment="1">
      <alignment horizontal="center" vertical="center" wrapText="1"/>
    </xf>
    <xf numFmtId="0" fontId="13" fillId="0" borderId="43" xfId="0" applyFont="1" applyBorder="1" applyAlignment="1">
      <alignment horizontal="left" vertical="center" wrapText="1"/>
    </xf>
    <xf numFmtId="0" fontId="12" fillId="3" borderId="43" xfId="0" applyFont="1" applyFill="1" applyBorder="1" applyAlignment="1">
      <alignment horizontal="center" vertical="center" wrapText="1"/>
    </xf>
    <xf numFmtId="0" fontId="13" fillId="3" borderId="43" xfId="0" applyFont="1" applyFill="1" applyBorder="1" applyAlignment="1">
      <alignment horizontal="center" vertical="center" wrapText="1"/>
    </xf>
    <xf numFmtId="0" fontId="12" fillId="7" borderId="43" xfId="0" applyFont="1" applyFill="1" applyBorder="1" applyAlignment="1">
      <alignment horizontal="center" vertical="center" wrapText="1"/>
    </xf>
    <xf numFmtId="0" fontId="13" fillId="7" borderId="43" xfId="0" applyFont="1" applyFill="1" applyBorder="1" applyAlignment="1">
      <alignment horizontal="center" vertical="center" wrapText="1"/>
    </xf>
    <xf numFmtId="0" fontId="11" fillId="9" borderId="43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3" xfId="0" applyFont="1" applyBorder="1" applyAlignment="1">
      <alignment horizontal="center" vertical="center"/>
    </xf>
    <xf numFmtId="0" fontId="12" fillId="10" borderId="43" xfId="0" applyFont="1" applyFill="1" applyBorder="1" applyAlignment="1">
      <alignment horizontal="left" vertical="center"/>
    </xf>
    <xf numFmtId="0" fontId="12" fillId="10" borderId="4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7" borderId="38" xfId="0" applyFont="1" applyFill="1" applyBorder="1" applyAlignment="1">
      <alignment horizontal="center" vertical="center" wrapText="1"/>
    </xf>
    <xf numFmtId="0" fontId="9" fillId="7" borderId="39" xfId="0" applyFont="1" applyFill="1" applyBorder="1" applyAlignment="1">
      <alignment horizontal="center" vertical="center" wrapText="1"/>
    </xf>
    <xf numFmtId="0" fontId="9" fillId="7" borderId="4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0" fontId="6" fillId="7" borderId="29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6" fillId="7" borderId="38" xfId="0" applyFont="1" applyFill="1" applyBorder="1" applyAlignment="1">
      <alignment horizontal="center" vertical="center" wrapText="1"/>
    </xf>
    <xf numFmtId="0" fontId="6" fillId="7" borderId="39" xfId="0" applyFont="1" applyFill="1" applyBorder="1" applyAlignment="1">
      <alignment horizontal="center" vertical="center" wrapText="1"/>
    </xf>
    <xf numFmtId="0" fontId="6" fillId="7" borderId="4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4" fillId="6" borderId="44" xfId="0" applyFont="1" applyFill="1" applyBorder="1" applyAlignment="1">
      <alignment horizontal="center" vertical="center" wrapText="1"/>
    </xf>
    <xf numFmtId="0" fontId="15" fillId="6" borderId="44" xfId="0" applyFont="1" applyFill="1" applyBorder="1" applyAlignment="1">
      <alignment horizontal="center" vertical="center" wrapText="1"/>
    </xf>
    <xf numFmtId="0" fontId="3" fillId="5" borderId="44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16" fillId="5" borderId="45" xfId="0" applyFont="1" applyFill="1" applyBorder="1" applyAlignment="1">
      <alignment horizontal="center" vertical="center" wrapText="1"/>
    </xf>
    <xf numFmtId="0" fontId="16" fillId="5" borderId="46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17" xfId="0" applyFont="1" applyFill="1" applyBorder="1" applyAlignment="1">
      <alignment horizontal="center" vertical="center" wrapText="1"/>
    </xf>
    <xf numFmtId="0" fontId="14" fillId="6" borderId="18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17" fillId="11" borderId="45" xfId="0" applyFont="1" applyFill="1" applyBorder="1" applyAlignment="1">
      <alignment horizontal="center" vertical="center" wrapText="1"/>
    </xf>
    <xf numFmtId="0" fontId="17" fillId="11" borderId="46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7"/>
  <sheetViews>
    <sheetView tabSelected="1" workbookViewId="0"/>
  </sheetViews>
  <sheetFormatPr defaultRowHeight="15.75"/>
  <cols>
    <col min="1" max="1" width="3" customWidth="1"/>
    <col min="2" max="2" width="2.42578125" customWidth="1"/>
    <col min="3" max="3" width="18" customWidth="1"/>
    <col min="4" max="4" width="9.42578125" customWidth="1"/>
    <col min="5" max="5" width="8.42578125" customWidth="1"/>
    <col min="6" max="6" width="11.42578125" customWidth="1"/>
    <col min="7" max="7" width="8.42578125" customWidth="1"/>
    <col min="8" max="8" width="5.42578125" customWidth="1"/>
    <col min="9" max="9" width="8" customWidth="1"/>
    <col min="10" max="10" width="18" customWidth="1"/>
    <col min="11" max="11" width="2.42578125" customWidth="1"/>
    <col min="12" max="12" width="10.42578125" customWidth="1"/>
    <col min="13" max="13" width="3" customWidth="1"/>
  </cols>
  <sheetData>
    <row r="1" spans="2:12" ht="33.950000000000003" customHeight="1"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2:12" ht="24" customHeight="1">
      <c r="B2" s="26" t="s">
        <v>1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ht="9.9499999999999993" customHeight="1"/>
    <row r="4" spans="2:12" ht="12" customHeight="1">
      <c r="B4" s="1"/>
      <c r="C4" s="2"/>
      <c r="D4" s="2"/>
      <c r="E4" s="2"/>
      <c r="F4" s="2"/>
      <c r="G4" s="2"/>
      <c r="H4" s="2"/>
      <c r="I4" s="2"/>
      <c r="J4" s="2"/>
      <c r="K4" s="3"/>
    </row>
    <row r="5" spans="2:12" ht="24" customHeight="1">
      <c r="B5" s="4"/>
      <c r="C5" s="30" t="s">
        <v>2</v>
      </c>
      <c r="D5" s="31"/>
      <c r="E5" s="32"/>
      <c r="F5" s="47" t="s">
        <v>3</v>
      </c>
      <c r="G5" s="41" t="s">
        <v>4</v>
      </c>
      <c r="H5" s="42"/>
      <c r="I5" s="37" t="s">
        <v>5</v>
      </c>
      <c r="J5" s="38"/>
      <c r="K5" s="5"/>
    </row>
    <row r="6" spans="2:12" ht="68.099999999999994" customHeight="1">
      <c r="B6" s="4"/>
      <c r="C6" s="50" t="s">
        <v>6</v>
      </c>
      <c r="D6" s="51"/>
      <c r="E6" s="52"/>
      <c r="F6" s="48"/>
      <c r="G6" s="43"/>
      <c r="H6" s="44"/>
      <c r="I6" s="39"/>
      <c r="J6" s="40"/>
      <c r="K6" s="5"/>
    </row>
    <row r="7" spans="2:12" ht="44.1" customHeight="1">
      <c r="B7" s="4"/>
      <c r="C7" s="53"/>
      <c r="D7" s="54"/>
      <c r="E7" s="55"/>
      <c r="F7" s="48"/>
      <c r="G7" s="43"/>
      <c r="H7" s="44"/>
      <c r="I7" s="37" t="s">
        <v>7</v>
      </c>
      <c r="J7" s="38"/>
      <c r="K7" s="5"/>
    </row>
    <row r="8" spans="2:12" ht="44.1" customHeight="1">
      <c r="B8" s="4"/>
      <c r="C8" s="56"/>
      <c r="D8" s="57"/>
      <c r="E8" s="58"/>
      <c r="F8" s="49"/>
      <c r="G8" s="45"/>
      <c r="H8" s="46"/>
      <c r="I8" s="39"/>
      <c r="J8" s="40"/>
      <c r="K8" s="5"/>
    </row>
    <row r="9" spans="2:12" ht="21.95" customHeight="1">
      <c r="B9" s="4"/>
      <c r="C9" s="6"/>
      <c r="D9" s="6"/>
      <c r="E9" s="59" t="s">
        <v>8</v>
      </c>
      <c r="F9" s="33"/>
      <c r="G9" s="33"/>
      <c r="H9" s="33"/>
      <c r="I9" s="33"/>
      <c r="J9" s="33" t="s">
        <v>9</v>
      </c>
      <c r="K9" s="33"/>
      <c r="L9" s="34"/>
    </row>
    <row r="10" spans="2:12" ht="24" customHeight="1">
      <c r="B10" s="4"/>
      <c r="C10" s="6"/>
      <c r="D10" s="6"/>
      <c r="E10" s="60"/>
      <c r="F10" s="61"/>
      <c r="G10" s="61"/>
      <c r="H10" s="61"/>
      <c r="I10" s="61"/>
      <c r="J10" s="35"/>
      <c r="K10" s="35"/>
      <c r="L10" s="36"/>
    </row>
    <row r="11" spans="2:12" ht="24" customHeight="1">
      <c r="B11" s="4"/>
      <c r="C11" s="6"/>
      <c r="D11" s="6"/>
      <c r="E11" s="60"/>
      <c r="F11" s="61"/>
      <c r="G11" s="61"/>
      <c r="H11" s="61"/>
      <c r="I11" s="62"/>
      <c r="J11" s="27" t="s">
        <v>4</v>
      </c>
      <c r="K11" s="5"/>
    </row>
    <row r="12" spans="2:12" ht="21.95" customHeight="1">
      <c r="B12" s="4"/>
      <c r="C12" s="6"/>
      <c r="D12" s="6"/>
      <c r="E12" s="60"/>
      <c r="F12" s="61"/>
      <c r="G12" s="61"/>
      <c r="H12" s="61"/>
      <c r="I12" s="62"/>
      <c r="J12" s="28"/>
      <c r="K12" s="5"/>
    </row>
    <row r="13" spans="2:12" ht="21.95" customHeight="1">
      <c r="B13" s="4"/>
      <c r="C13" s="6"/>
      <c r="D13" s="6"/>
      <c r="E13" s="63"/>
      <c r="F13" s="35"/>
      <c r="G13" s="35"/>
      <c r="H13" s="35"/>
      <c r="I13" s="36"/>
      <c r="J13" s="29"/>
      <c r="K13" s="5"/>
    </row>
    <row r="14" spans="2:12" ht="24" customHeight="1">
      <c r="B14" s="4"/>
      <c r="C14" s="30" t="s">
        <v>10</v>
      </c>
      <c r="D14" s="31"/>
      <c r="E14" s="31"/>
      <c r="F14" s="31"/>
      <c r="G14" s="31"/>
      <c r="H14" s="31"/>
      <c r="I14" s="31"/>
      <c r="J14" s="32"/>
      <c r="K14" s="5"/>
    </row>
    <row r="15" spans="2:12" ht="140.1" customHeight="1">
      <c r="B15" s="4"/>
      <c r="C15" s="64" t="s">
        <v>11</v>
      </c>
      <c r="D15" s="65"/>
      <c r="E15" s="65"/>
      <c r="F15" s="65"/>
      <c r="G15" s="65"/>
      <c r="H15" s="65"/>
      <c r="I15" s="65"/>
      <c r="J15" s="66"/>
      <c r="K15" s="5"/>
    </row>
    <row r="16" spans="2:12" ht="12" customHeight="1">
      <c r="B16" s="7"/>
      <c r="C16" s="8"/>
      <c r="D16" s="8"/>
      <c r="E16" s="8"/>
      <c r="F16" s="8"/>
      <c r="G16" s="8"/>
      <c r="H16" s="8"/>
      <c r="I16" s="8"/>
      <c r="J16" s="8"/>
      <c r="K16" s="9"/>
    </row>
    <row r="17" ht="18" customHeight="1"/>
  </sheetData>
  <mergeCells count="13">
    <mergeCell ref="C15:J15"/>
    <mergeCell ref="B1:L1"/>
    <mergeCell ref="B2:L2"/>
    <mergeCell ref="J11:J13"/>
    <mergeCell ref="C14:J14"/>
    <mergeCell ref="J9:L10"/>
    <mergeCell ref="I5:J6"/>
    <mergeCell ref="G5:H8"/>
    <mergeCell ref="F5:F8"/>
    <mergeCell ref="C6:E8"/>
    <mergeCell ref="C5:E5"/>
    <mergeCell ref="I7:J8"/>
    <mergeCell ref="E9:I13"/>
  </mergeCells>
  <phoneticPr fontId="18" type="noConversion"/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17"/>
  <sheetViews>
    <sheetView workbookViewId="0"/>
  </sheetViews>
  <sheetFormatPr defaultRowHeight="15.75"/>
  <cols>
    <col min="1" max="1" width="3" customWidth="1"/>
    <col min="2" max="2" width="2.42578125" customWidth="1"/>
    <col min="3" max="3" width="18" customWidth="1"/>
    <col min="4" max="4" width="9.42578125" customWidth="1"/>
    <col min="5" max="5" width="8.42578125" customWidth="1"/>
    <col min="6" max="6" width="11.42578125" customWidth="1"/>
    <col min="7" max="7" width="8.42578125" customWidth="1"/>
    <col min="8" max="8" width="5.42578125" customWidth="1"/>
    <col min="9" max="9" width="8" customWidth="1"/>
    <col min="10" max="10" width="18" customWidth="1"/>
    <col min="11" max="11" width="2.42578125" customWidth="1"/>
    <col min="12" max="12" width="10.42578125" customWidth="1"/>
    <col min="13" max="13" width="3" customWidth="1"/>
  </cols>
  <sheetData>
    <row r="1" spans="2:12" ht="33.950000000000003" customHeight="1">
      <c r="B1" s="25" t="s">
        <v>12</v>
      </c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2:12" ht="24" customHeight="1">
      <c r="B2" s="26" t="s">
        <v>13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ht="9.9499999999999993" customHeight="1"/>
    <row r="4" spans="2:12" ht="12" customHeight="1">
      <c r="B4" s="1"/>
      <c r="C4" s="2"/>
      <c r="D4" s="2"/>
      <c r="E4" s="2"/>
      <c r="F4" s="2"/>
      <c r="G4" s="2"/>
      <c r="H4" s="2"/>
      <c r="I4" s="2"/>
      <c r="J4" s="2"/>
      <c r="K4" s="3"/>
    </row>
    <row r="5" spans="2:12" ht="24" customHeight="1">
      <c r="B5" s="4"/>
      <c r="C5" s="30" t="s">
        <v>2</v>
      </c>
      <c r="D5" s="31"/>
      <c r="E5" s="32"/>
      <c r="F5" s="47" t="s">
        <v>3</v>
      </c>
      <c r="G5" s="41" t="s">
        <v>4</v>
      </c>
      <c r="H5" s="42"/>
      <c r="I5" s="37" t="s">
        <v>5</v>
      </c>
      <c r="J5" s="38"/>
      <c r="K5" s="5"/>
    </row>
    <row r="6" spans="2:12" ht="68.099999999999994" customHeight="1">
      <c r="B6" s="4"/>
      <c r="C6" s="50" t="s">
        <v>6</v>
      </c>
      <c r="D6" s="51"/>
      <c r="E6" s="52"/>
      <c r="F6" s="48"/>
      <c r="G6" s="43"/>
      <c r="H6" s="44"/>
      <c r="I6" s="39"/>
      <c r="J6" s="40"/>
      <c r="K6" s="5"/>
    </row>
    <row r="7" spans="2:12" ht="44.1" customHeight="1">
      <c r="B7" s="4"/>
      <c r="C7" s="53"/>
      <c r="D7" s="54"/>
      <c r="E7" s="55"/>
      <c r="F7" s="48"/>
      <c r="G7" s="43"/>
      <c r="H7" s="44"/>
      <c r="I7" s="37" t="s">
        <v>7</v>
      </c>
      <c r="J7" s="38"/>
      <c r="K7" s="5"/>
    </row>
    <row r="8" spans="2:12" ht="44.1" customHeight="1">
      <c r="B8" s="4"/>
      <c r="C8" s="56"/>
      <c r="D8" s="57"/>
      <c r="E8" s="58"/>
      <c r="F8" s="49"/>
      <c r="G8" s="45"/>
      <c r="H8" s="46"/>
      <c r="I8" s="39"/>
      <c r="J8" s="40"/>
      <c r="K8" s="5"/>
    </row>
    <row r="9" spans="2:12" ht="9.9499999999999993" customHeight="1">
      <c r="B9" s="4"/>
      <c r="C9" s="6"/>
      <c r="D9" s="6"/>
      <c r="E9" s="59" t="s">
        <v>14</v>
      </c>
      <c r="F9" s="33"/>
      <c r="G9" s="34"/>
      <c r="H9" s="6"/>
      <c r="I9" s="6"/>
      <c r="J9" s="6"/>
      <c r="K9" s="5"/>
    </row>
    <row r="10" spans="2:12" ht="9.9499999999999993" customHeight="1">
      <c r="B10" s="4"/>
      <c r="C10" s="6"/>
      <c r="D10" s="6"/>
      <c r="E10" s="60"/>
      <c r="F10" s="61"/>
      <c r="G10" s="62"/>
      <c r="H10" s="6"/>
      <c r="I10" s="6"/>
      <c r="J10" s="67" t="s">
        <v>4</v>
      </c>
      <c r="K10" s="5"/>
    </row>
    <row r="11" spans="2:12" ht="72" customHeight="1">
      <c r="B11" s="4"/>
      <c r="C11" s="6"/>
      <c r="D11" s="6"/>
      <c r="E11" s="60"/>
      <c r="F11" s="61"/>
      <c r="G11" s="62"/>
      <c r="H11" s="6"/>
      <c r="I11" s="6"/>
      <c r="J11" s="68"/>
      <c r="K11" s="73" t="s">
        <v>15</v>
      </c>
      <c r="L11" s="74"/>
    </row>
    <row r="12" spans="2:12" ht="9.9499999999999993" customHeight="1">
      <c r="B12" s="4"/>
      <c r="C12" s="6"/>
      <c r="D12" s="6"/>
      <c r="E12" s="60"/>
      <c r="F12" s="61"/>
      <c r="G12" s="62"/>
      <c r="H12" s="6"/>
      <c r="I12" s="6"/>
      <c r="J12" s="69"/>
      <c r="K12" s="5"/>
    </row>
    <row r="13" spans="2:12" ht="9.9499999999999993" customHeight="1">
      <c r="B13" s="4"/>
      <c r="C13" s="6"/>
      <c r="D13" s="6"/>
      <c r="E13" s="60"/>
      <c r="F13" s="61"/>
      <c r="G13" s="62"/>
      <c r="H13" s="6"/>
      <c r="I13" s="6"/>
      <c r="J13" s="6"/>
      <c r="K13" s="5"/>
    </row>
    <row r="14" spans="2:12" ht="24" customHeight="1">
      <c r="B14" s="4"/>
      <c r="C14" s="30" t="s">
        <v>16</v>
      </c>
      <c r="D14" s="32"/>
      <c r="E14" s="60" t="s">
        <v>17</v>
      </c>
      <c r="F14" s="61"/>
      <c r="G14" s="62"/>
      <c r="H14" s="30" t="s">
        <v>18</v>
      </c>
      <c r="I14" s="31"/>
      <c r="J14" s="32"/>
      <c r="K14" s="5"/>
    </row>
    <row r="15" spans="2:12" ht="140.1" customHeight="1">
      <c r="B15" s="4"/>
      <c r="C15" s="70" t="s">
        <v>19</v>
      </c>
      <c r="D15" s="72"/>
      <c r="E15" s="63"/>
      <c r="F15" s="35"/>
      <c r="G15" s="36"/>
      <c r="H15" s="70" t="s">
        <v>20</v>
      </c>
      <c r="I15" s="71"/>
      <c r="J15" s="72"/>
      <c r="K15" s="5"/>
    </row>
    <row r="16" spans="2:12" ht="12" customHeight="1">
      <c r="B16" s="7"/>
      <c r="C16" s="8"/>
      <c r="D16" s="8"/>
      <c r="E16" s="8"/>
      <c r="F16" s="8"/>
      <c r="G16" s="8"/>
      <c r="H16" s="8"/>
      <c r="I16" s="8"/>
      <c r="J16" s="8"/>
      <c r="K16" s="9"/>
    </row>
    <row r="17" ht="18" customHeight="1"/>
  </sheetData>
  <mergeCells count="16">
    <mergeCell ref="H15:J15"/>
    <mergeCell ref="C6:E8"/>
    <mergeCell ref="K11:L11"/>
    <mergeCell ref="C5:E5"/>
    <mergeCell ref="I7:J8"/>
    <mergeCell ref="C15:D15"/>
    <mergeCell ref="E14:G15"/>
    <mergeCell ref="H14:J14"/>
    <mergeCell ref="B1:L1"/>
    <mergeCell ref="B2:L2"/>
    <mergeCell ref="C14:D14"/>
    <mergeCell ref="J10:J12"/>
    <mergeCell ref="I5:J6"/>
    <mergeCell ref="E9:G13"/>
    <mergeCell ref="G5:H8"/>
    <mergeCell ref="F5:F8"/>
  </mergeCells>
  <phoneticPr fontId="18" type="noConversion"/>
  <pageMargins left="0.75" right="0.7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L17"/>
  <sheetViews>
    <sheetView workbookViewId="0"/>
  </sheetViews>
  <sheetFormatPr defaultRowHeight="15.75"/>
  <cols>
    <col min="1" max="1" width="3" customWidth="1"/>
    <col min="2" max="2" width="2.42578125" customWidth="1"/>
    <col min="3" max="3" width="18" customWidth="1"/>
    <col min="4" max="4" width="9.42578125" customWidth="1"/>
    <col min="5" max="5" width="8.42578125" customWidth="1"/>
    <col min="6" max="6" width="11.42578125" customWidth="1"/>
    <col min="7" max="7" width="8.42578125" customWidth="1"/>
    <col min="8" max="8" width="5.42578125" customWidth="1"/>
    <col min="9" max="9" width="8" customWidth="1"/>
    <col min="10" max="10" width="18" customWidth="1"/>
    <col min="11" max="11" width="2.42578125" customWidth="1"/>
    <col min="12" max="12" width="10.42578125" customWidth="1"/>
    <col min="13" max="13" width="3" customWidth="1"/>
  </cols>
  <sheetData>
    <row r="1" spans="2:12" ht="33.950000000000003" customHeight="1">
      <c r="B1" s="25" t="s">
        <v>21</v>
      </c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2:12" ht="24" customHeight="1">
      <c r="B2" s="26" t="s">
        <v>22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ht="9.9499999999999993" customHeight="1"/>
    <row r="4" spans="2:12" ht="12" customHeight="1">
      <c r="B4" s="1"/>
      <c r="C4" s="2"/>
      <c r="D4" s="2"/>
      <c r="E4" s="2"/>
      <c r="F4" s="2"/>
      <c r="G4" s="2"/>
      <c r="H4" s="2"/>
      <c r="I4" s="2"/>
      <c r="J4" s="2"/>
      <c r="K4" s="3"/>
    </row>
    <row r="5" spans="2:12" ht="24" customHeight="1">
      <c r="B5" s="4"/>
      <c r="C5" s="30" t="s">
        <v>2</v>
      </c>
      <c r="D5" s="31"/>
      <c r="E5" s="32"/>
      <c r="F5" s="47" t="s">
        <v>3</v>
      </c>
      <c r="G5" s="41" t="s">
        <v>4</v>
      </c>
      <c r="H5" s="42"/>
      <c r="I5" s="37" t="s">
        <v>5</v>
      </c>
      <c r="J5" s="38"/>
      <c r="K5" s="5"/>
    </row>
    <row r="6" spans="2:12" ht="68.099999999999994" customHeight="1">
      <c r="B6" s="4"/>
      <c r="C6" s="50" t="s">
        <v>6</v>
      </c>
      <c r="D6" s="51"/>
      <c r="E6" s="52"/>
      <c r="F6" s="48"/>
      <c r="G6" s="43"/>
      <c r="H6" s="44"/>
      <c r="I6" s="39"/>
      <c r="J6" s="40"/>
      <c r="K6" s="5"/>
    </row>
    <row r="7" spans="2:12" ht="44.1" customHeight="1">
      <c r="B7" s="4"/>
      <c r="C7" s="53"/>
      <c r="D7" s="54"/>
      <c r="E7" s="55"/>
      <c r="F7" s="48"/>
      <c r="G7" s="43"/>
      <c r="H7" s="44"/>
      <c r="I7" s="37" t="s">
        <v>7</v>
      </c>
      <c r="J7" s="38"/>
      <c r="K7" s="5"/>
    </row>
    <row r="8" spans="2:12" ht="44.1" customHeight="1">
      <c r="B8" s="4"/>
      <c r="C8" s="56"/>
      <c r="D8" s="57"/>
      <c r="E8" s="58"/>
      <c r="F8" s="49"/>
      <c r="G8" s="45"/>
      <c r="H8" s="46"/>
      <c r="I8" s="39"/>
      <c r="J8" s="40"/>
      <c r="K8" s="5"/>
    </row>
    <row r="9" spans="2:12" ht="21.95" customHeight="1">
      <c r="B9" s="4"/>
      <c r="C9" s="6"/>
      <c r="D9" s="6"/>
      <c r="E9" s="59" t="s">
        <v>23</v>
      </c>
      <c r="F9" s="33"/>
      <c r="G9" s="33"/>
      <c r="H9" s="33"/>
      <c r="I9" s="33"/>
      <c r="J9" s="33" t="s">
        <v>9</v>
      </c>
      <c r="K9" s="33"/>
      <c r="L9" s="34"/>
    </row>
    <row r="10" spans="2:12" ht="24" customHeight="1">
      <c r="B10" s="4"/>
      <c r="C10" s="6"/>
      <c r="D10" s="6"/>
      <c r="E10" s="60"/>
      <c r="F10" s="61"/>
      <c r="G10" s="61"/>
      <c r="H10" s="61"/>
      <c r="I10" s="61"/>
      <c r="J10" s="35"/>
      <c r="K10" s="35"/>
      <c r="L10" s="36"/>
    </row>
    <row r="11" spans="2:12" ht="24" customHeight="1">
      <c r="B11" s="4"/>
      <c r="C11" s="6"/>
      <c r="D11" s="6"/>
      <c r="E11" s="60"/>
      <c r="F11" s="61"/>
      <c r="G11" s="61"/>
      <c r="H11" s="61"/>
      <c r="I11" s="62"/>
      <c r="J11" s="27" t="s">
        <v>4</v>
      </c>
      <c r="K11" s="5"/>
    </row>
    <row r="12" spans="2:12" ht="21.95" customHeight="1">
      <c r="B12" s="4"/>
      <c r="C12" s="6"/>
      <c r="D12" s="6"/>
      <c r="E12" s="60"/>
      <c r="F12" s="61"/>
      <c r="G12" s="61"/>
      <c r="H12" s="61"/>
      <c r="I12" s="62"/>
      <c r="J12" s="28"/>
      <c r="K12" s="5"/>
    </row>
    <row r="13" spans="2:12" ht="21.95" customHeight="1">
      <c r="B13" s="4"/>
      <c r="C13" s="6"/>
      <c r="D13" s="6"/>
      <c r="E13" s="60"/>
      <c r="F13" s="61"/>
      <c r="G13" s="61"/>
      <c r="H13" s="35"/>
      <c r="I13" s="36"/>
      <c r="J13" s="29"/>
      <c r="K13" s="5"/>
    </row>
    <row r="14" spans="2:12" ht="24" customHeight="1">
      <c r="B14" s="4"/>
      <c r="C14" s="30" t="s">
        <v>16</v>
      </c>
      <c r="D14" s="32"/>
      <c r="E14" s="60" t="s">
        <v>24</v>
      </c>
      <c r="F14" s="61"/>
      <c r="G14" s="62"/>
      <c r="H14" s="30" t="s">
        <v>18</v>
      </c>
      <c r="I14" s="31"/>
      <c r="J14" s="32"/>
      <c r="K14" s="5"/>
    </row>
    <row r="15" spans="2:12" ht="140.1" customHeight="1">
      <c r="B15" s="4"/>
      <c r="C15" s="70" t="s">
        <v>19</v>
      </c>
      <c r="D15" s="72"/>
      <c r="E15" s="63"/>
      <c r="F15" s="35"/>
      <c r="G15" s="36"/>
      <c r="H15" s="70" t="s">
        <v>20</v>
      </c>
      <c r="I15" s="71"/>
      <c r="J15" s="72"/>
      <c r="K15" s="5"/>
    </row>
    <row r="16" spans="2:12" ht="12" customHeight="1">
      <c r="B16" s="7"/>
      <c r="C16" s="8"/>
      <c r="D16" s="8"/>
      <c r="E16" s="8"/>
      <c r="F16" s="8"/>
      <c r="G16" s="8"/>
      <c r="H16" s="8"/>
      <c r="I16" s="8"/>
      <c r="J16" s="8"/>
      <c r="K16" s="9"/>
    </row>
    <row r="17" ht="18" customHeight="1"/>
  </sheetData>
  <mergeCells count="16">
    <mergeCell ref="H15:J15"/>
    <mergeCell ref="C6:E8"/>
    <mergeCell ref="C5:E5"/>
    <mergeCell ref="I7:J8"/>
    <mergeCell ref="E9:I13"/>
    <mergeCell ref="C15:D15"/>
    <mergeCell ref="E14:G15"/>
    <mergeCell ref="H14:J14"/>
    <mergeCell ref="B1:L1"/>
    <mergeCell ref="B2:L2"/>
    <mergeCell ref="J11:J13"/>
    <mergeCell ref="C14:D14"/>
    <mergeCell ref="J9:L10"/>
    <mergeCell ref="I5:J6"/>
    <mergeCell ref="G5:H8"/>
    <mergeCell ref="F5:F8"/>
  </mergeCells>
  <phoneticPr fontId="18" type="noConversion"/>
  <pageMargins left="0.75" right="0.75" top="1" bottom="1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7"/>
  <sheetViews>
    <sheetView workbookViewId="0"/>
  </sheetViews>
  <sheetFormatPr defaultRowHeight="15.75"/>
  <cols>
    <col min="1" max="1" width="8" customWidth="1"/>
    <col min="2" max="3" width="22" customWidth="1"/>
    <col min="4" max="4" width="34" customWidth="1"/>
    <col min="5" max="5" width="22" customWidth="1"/>
    <col min="6" max="6" width="46" customWidth="1"/>
    <col min="7" max="7" width="56" customWidth="1"/>
  </cols>
  <sheetData>
    <row r="1" spans="1:7" ht="32.1" customHeight="1">
      <c r="A1" s="75" t="s">
        <v>25</v>
      </c>
      <c r="B1" s="75"/>
      <c r="C1" s="75"/>
      <c r="D1" s="75"/>
      <c r="E1" s="75"/>
      <c r="F1" s="75"/>
      <c r="G1" s="75"/>
    </row>
    <row r="2" spans="1:7" ht="27.95" customHeight="1">
      <c r="A2" s="10" t="s">
        <v>26</v>
      </c>
      <c r="B2" s="10" t="s">
        <v>27</v>
      </c>
      <c r="C2" s="10" t="s">
        <v>28</v>
      </c>
      <c r="D2" s="10" t="s">
        <v>29</v>
      </c>
      <c r="E2" s="10" t="s">
        <v>30</v>
      </c>
      <c r="F2" s="10" t="s">
        <v>31</v>
      </c>
      <c r="G2" s="10" t="s">
        <v>32</v>
      </c>
    </row>
    <row r="3" spans="1:7" ht="27.95" customHeight="1">
      <c r="A3" s="11">
        <v>1</v>
      </c>
      <c r="B3" s="12" t="s">
        <v>33</v>
      </c>
      <c r="C3" s="11" t="s">
        <v>2</v>
      </c>
      <c r="D3" s="13" t="s">
        <v>34</v>
      </c>
      <c r="E3" s="14" t="s">
        <v>35</v>
      </c>
      <c r="F3" s="15" t="s">
        <v>36</v>
      </c>
      <c r="G3" s="15" t="s">
        <v>37</v>
      </c>
    </row>
    <row r="4" spans="1:7" ht="27.95" customHeight="1">
      <c r="A4" s="11">
        <v>2</v>
      </c>
      <c r="B4" s="12" t="s">
        <v>33</v>
      </c>
      <c r="C4" s="11" t="s">
        <v>38</v>
      </c>
      <c r="D4" s="16" t="s">
        <v>39</v>
      </c>
      <c r="E4" s="17" t="s">
        <v>40</v>
      </c>
      <c r="F4" s="15" t="s">
        <v>41</v>
      </c>
      <c r="G4" s="15" t="s">
        <v>42</v>
      </c>
    </row>
    <row r="5" spans="1:7" ht="27.95" customHeight="1">
      <c r="A5" s="11">
        <v>3</v>
      </c>
      <c r="B5" s="12" t="s">
        <v>33</v>
      </c>
      <c r="C5" s="11" t="s">
        <v>43</v>
      </c>
      <c r="D5" s="18" t="s">
        <v>44</v>
      </c>
      <c r="E5" s="19" t="s">
        <v>45</v>
      </c>
      <c r="F5" s="15" t="s">
        <v>46</v>
      </c>
      <c r="G5" s="15" t="s">
        <v>47</v>
      </c>
    </row>
    <row r="6" spans="1:7" ht="27.95" customHeight="1">
      <c r="A6" s="11">
        <v>4</v>
      </c>
      <c r="B6" s="12" t="s">
        <v>33</v>
      </c>
      <c r="C6" s="11" t="s">
        <v>48</v>
      </c>
      <c r="D6" s="13" t="s">
        <v>5</v>
      </c>
      <c r="E6" s="14" t="s">
        <v>35</v>
      </c>
      <c r="F6" s="15" t="s">
        <v>49</v>
      </c>
      <c r="G6" s="15" t="s">
        <v>50</v>
      </c>
    </row>
    <row r="7" spans="1:7" ht="27.95" customHeight="1">
      <c r="A7" s="11">
        <v>5</v>
      </c>
      <c r="B7" s="12" t="s">
        <v>33</v>
      </c>
      <c r="C7" s="11" t="s">
        <v>51</v>
      </c>
      <c r="D7" s="13" t="s">
        <v>7</v>
      </c>
      <c r="E7" s="14" t="s">
        <v>35</v>
      </c>
      <c r="F7" s="15" t="s">
        <v>52</v>
      </c>
      <c r="G7" s="15" t="s">
        <v>53</v>
      </c>
    </row>
    <row r="8" spans="1:7" ht="27.95" customHeight="1">
      <c r="A8" s="11">
        <v>6</v>
      </c>
      <c r="B8" s="12" t="s">
        <v>54</v>
      </c>
      <c r="C8" s="11" t="s">
        <v>55</v>
      </c>
      <c r="D8" s="16" t="s">
        <v>56</v>
      </c>
      <c r="E8" s="17" t="s">
        <v>40</v>
      </c>
      <c r="F8" s="15" t="s">
        <v>57</v>
      </c>
      <c r="G8" s="15" t="s">
        <v>58</v>
      </c>
    </row>
    <row r="9" spans="1:7" ht="27.95" customHeight="1">
      <c r="A9" s="11">
        <v>7</v>
      </c>
      <c r="B9" s="12" t="s">
        <v>54</v>
      </c>
      <c r="C9" s="11" t="s">
        <v>59</v>
      </c>
      <c r="D9" s="18" t="s">
        <v>44</v>
      </c>
      <c r="E9" s="19" t="s">
        <v>45</v>
      </c>
      <c r="F9" s="15" t="s">
        <v>60</v>
      </c>
      <c r="G9" s="15" t="s">
        <v>61</v>
      </c>
    </row>
    <row r="10" spans="1:7" ht="27.95" customHeight="1">
      <c r="A10" s="11">
        <v>8</v>
      </c>
      <c r="B10" s="12" t="s">
        <v>54</v>
      </c>
      <c r="C10" s="11" t="s">
        <v>62</v>
      </c>
      <c r="D10" s="16" t="s">
        <v>9</v>
      </c>
      <c r="E10" s="17" t="s">
        <v>40</v>
      </c>
      <c r="F10" s="15" t="s">
        <v>63</v>
      </c>
      <c r="G10" s="15" t="s">
        <v>64</v>
      </c>
    </row>
    <row r="11" spans="1:7" ht="27.95" customHeight="1">
      <c r="A11" s="11">
        <v>9</v>
      </c>
      <c r="B11" s="12" t="s">
        <v>65</v>
      </c>
      <c r="C11" s="11" t="s">
        <v>10</v>
      </c>
      <c r="D11" s="13" t="s">
        <v>66</v>
      </c>
      <c r="E11" s="14" t="s">
        <v>35</v>
      </c>
      <c r="F11" s="15" t="s">
        <v>67</v>
      </c>
      <c r="G11" s="15" t="s">
        <v>68</v>
      </c>
    </row>
    <row r="13" spans="1:7" ht="26.1" customHeight="1">
      <c r="B13" s="20" t="s">
        <v>69</v>
      </c>
      <c r="C13" s="20" t="s">
        <v>70</v>
      </c>
    </row>
    <row r="14" spans="1:7" ht="24" customHeight="1">
      <c r="B14" s="21" t="s">
        <v>35</v>
      </c>
      <c r="C14" s="22">
        <f>COUNTIF(E3:E11, "行政處室／辦公室")</f>
        <v>4</v>
      </c>
    </row>
    <row r="15" spans="1:7" ht="24" customHeight="1">
      <c r="B15" s="21" t="s">
        <v>45</v>
      </c>
      <c r="C15" s="22">
        <f>COUNTIF(E3:E11, "廁所 (男女廁 WC)")</f>
        <v>2</v>
      </c>
    </row>
    <row r="16" spans="1:7" ht="24" customHeight="1">
      <c r="B16" s="21" t="s">
        <v>40</v>
      </c>
      <c r="C16" s="22">
        <f>COUNTIF(E3:E11, "樓梯／穿堂／通廊")</f>
        <v>3</v>
      </c>
    </row>
    <row r="17" spans="2:3" ht="24" customHeight="1">
      <c r="B17" s="23" t="s">
        <v>71</v>
      </c>
      <c r="C17" s="24">
        <f>COUNTA(D3:D11)</f>
        <v>9</v>
      </c>
    </row>
  </sheetData>
  <mergeCells count="1">
    <mergeCell ref="A1:G1"/>
  </mergeCells>
  <phoneticPr fontId="18" type="noConversion"/>
  <pageMargins left="0.75" right="0.75" top="1" bottom="1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L17"/>
  <sheetViews>
    <sheetView workbookViewId="0"/>
  </sheetViews>
  <sheetFormatPr defaultRowHeight="15.75"/>
  <cols>
    <col min="1" max="1" width="3" customWidth="1"/>
    <col min="2" max="2" width="2.42578125" customWidth="1"/>
    <col min="3" max="3" width="18" customWidth="1"/>
    <col min="4" max="4" width="9.42578125" customWidth="1"/>
    <col min="5" max="5" width="8.42578125" customWidth="1"/>
    <col min="6" max="6" width="11.42578125" customWidth="1"/>
    <col min="7" max="7" width="8.42578125" customWidth="1"/>
    <col min="8" max="8" width="5.42578125" customWidth="1"/>
    <col min="9" max="9" width="8" customWidth="1"/>
    <col min="10" max="10" width="18" customWidth="1"/>
    <col min="11" max="11" width="2.42578125" customWidth="1"/>
    <col min="12" max="12" width="10.42578125" customWidth="1"/>
    <col min="13" max="13" width="3" customWidth="1"/>
  </cols>
  <sheetData>
    <row r="1" spans="2:12" ht="33.950000000000003" customHeight="1">
      <c r="B1" s="75" t="s">
        <v>72</v>
      </c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2:12" ht="24" customHeight="1">
      <c r="B2" s="26" t="s">
        <v>73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ht="9.9499999999999993" customHeight="1"/>
    <row r="4" spans="2:12" ht="12" customHeight="1">
      <c r="B4" s="1"/>
      <c r="C4" s="2"/>
      <c r="D4" s="2"/>
      <c r="E4" s="2"/>
      <c r="F4" s="2"/>
      <c r="G4" s="2"/>
      <c r="H4" s="2"/>
      <c r="I4" s="2"/>
      <c r="J4" s="2"/>
      <c r="K4" s="3"/>
    </row>
    <row r="5" spans="2:12" ht="24" customHeight="1">
      <c r="B5" s="4"/>
      <c r="C5" s="30" t="s">
        <v>74</v>
      </c>
      <c r="D5" s="31"/>
      <c r="E5" s="32"/>
      <c r="F5" s="47" t="s">
        <v>3</v>
      </c>
      <c r="G5" s="41" t="s">
        <v>4</v>
      </c>
      <c r="H5" s="42"/>
      <c r="I5" s="30" t="s">
        <v>75</v>
      </c>
      <c r="J5" s="32"/>
      <c r="K5" s="5"/>
    </row>
    <row r="6" spans="2:12" ht="68.099999999999994" customHeight="1">
      <c r="B6" s="4"/>
      <c r="C6" s="37" t="s">
        <v>76</v>
      </c>
      <c r="D6" s="81"/>
      <c r="E6" s="38"/>
      <c r="F6" s="48"/>
      <c r="G6" s="43"/>
      <c r="H6" s="44"/>
      <c r="I6" s="37" t="s">
        <v>77</v>
      </c>
      <c r="J6" s="38"/>
      <c r="K6" s="5"/>
    </row>
    <row r="7" spans="2:12" ht="44.1" customHeight="1">
      <c r="B7" s="4"/>
      <c r="C7" s="79"/>
      <c r="D7" s="82"/>
      <c r="E7" s="80"/>
      <c r="F7" s="48"/>
      <c r="G7" s="43"/>
      <c r="H7" s="44"/>
      <c r="I7" s="79"/>
      <c r="J7" s="80"/>
      <c r="K7" s="5"/>
    </row>
    <row r="8" spans="2:12" ht="44.1" customHeight="1">
      <c r="B8" s="4"/>
      <c r="C8" s="39"/>
      <c r="D8" s="83"/>
      <c r="E8" s="40"/>
      <c r="F8" s="49"/>
      <c r="G8" s="45"/>
      <c r="H8" s="46"/>
      <c r="I8" s="39"/>
      <c r="J8" s="40"/>
      <c r="K8" s="5"/>
    </row>
    <row r="9" spans="2:12" ht="9.9499999999999993" customHeight="1">
      <c r="B9" s="4"/>
      <c r="C9" s="6"/>
      <c r="D9" s="6"/>
      <c r="E9" s="59" t="s">
        <v>78</v>
      </c>
      <c r="F9" s="33"/>
      <c r="G9" s="34"/>
      <c r="H9" s="6"/>
      <c r="I9" s="6"/>
      <c r="J9" s="6"/>
      <c r="K9" s="5"/>
    </row>
    <row r="10" spans="2:12" ht="9.9499999999999993" customHeight="1">
      <c r="B10" s="4"/>
      <c r="C10" s="6"/>
      <c r="D10" s="6"/>
      <c r="E10" s="60"/>
      <c r="F10" s="61"/>
      <c r="G10" s="62"/>
      <c r="H10" s="6"/>
      <c r="I10" s="6"/>
      <c r="J10" s="67" t="s">
        <v>4</v>
      </c>
      <c r="K10" s="5"/>
    </row>
    <row r="11" spans="2:12" ht="72" customHeight="1">
      <c r="B11" s="4"/>
      <c r="C11" s="6"/>
      <c r="D11" s="6"/>
      <c r="E11" s="60"/>
      <c r="F11" s="61"/>
      <c r="G11" s="62"/>
      <c r="H11" s="6"/>
      <c r="I11" s="6"/>
      <c r="J11" s="68"/>
      <c r="K11" s="73" t="s">
        <v>79</v>
      </c>
      <c r="L11" s="74"/>
    </row>
    <row r="12" spans="2:12" ht="9.9499999999999993" customHeight="1">
      <c r="B12" s="4"/>
      <c r="C12" s="6"/>
      <c r="D12" s="6"/>
      <c r="E12" s="60"/>
      <c r="F12" s="61"/>
      <c r="G12" s="62"/>
      <c r="H12" s="6"/>
      <c r="I12" s="6"/>
      <c r="J12" s="69"/>
      <c r="K12" s="5"/>
    </row>
    <row r="13" spans="2:12" ht="9.9499999999999993" customHeight="1">
      <c r="B13" s="4"/>
      <c r="C13" s="6"/>
      <c r="D13" s="6"/>
      <c r="E13" s="60"/>
      <c r="F13" s="61"/>
      <c r="G13" s="62"/>
      <c r="H13" s="6"/>
      <c r="I13" s="6"/>
      <c r="J13" s="6"/>
      <c r="K13" s="5"/>
    </row>
    <row r="14" spans="2:12" ht="24" customHeight="1">
      <c r="B14" s="4"/>
      <c r="C14" s="78" t="s">
        <v>80</v>
      </c>
      <c r="D14" s="78" t="s">
        <v>81</v>
      </c>
      <c r="E14" s="60" t="s">
        <v>82</v>
      </c>
      <c r="F14" s="61"/>
      <c r="G14" s="62"/>
      <c r="H14" s="30" t="s">
        <v>83</v>
      </c>
      <c r="I14" s="31"/>
      <c r="J14" s="32"/>
      <c r="K14" s="5"/>
    </row>
    <row r="15" spans="2:12" ht="140.1" customHeight="1">
      <c r="B15" s="4"/>
      <c r="C15" s="76" t="s">
        <v>84</v>
      </c>
      <c r="D15" s="77" t="s">
        <v>85</v>
      </c>
      <c r="E15" s="63"/>
      <c r="F15" s="35"/>
      <c r="G15" s="36"/>
      <c r="H15" s="64" t="s">
        <v>86</v>
      </c>
      <c r="I15" s="65"/>
      <c r="J15" s="66"/>
      <c r="K15" s="5"/>
    </row>
    <row r="16" spans="2:12" ht="12" customHeight="1">
      <c r="B16" s="7"/>
      <c r="C16" s="8"/>
      <c r="D16" s="8"/>
      <c r="E16" s="8"/>
      <c r="F16" s="8"/>
      <c r="G16" s="8"/>
      <c r="H16" s="8"/>
      <c r="I16" s="8"/>
      <c r="J16" s="8"/>
      <c r="K16" s="9"/>
    </row>
    <row r="17" ht="18" customHeight="1"/>
  </sheetData>
  <mergeCells count="18">
    <mergeCell ref="E14:G15"/>
    <mergeCell ref="D14"/>
    <mergeCell ref="B1:L1"/>
    <mergeCell ref="B2:L2"/>
    <mergeCell ref="C15"/>
    <mergeCell ref="D15"/>
    <mergeCell ref="I5:J5"/>
    <mergeCell ref="J10:J12"/>
    <mergeCell ref="E9:G13"/>
    <mergeCell ref="G5:H8"/>
    <mergeCell ref="C14"/>
    <mergeCell ref="I6:J8"/>
    <mergeCell ref="F5:F8"/>
    <mergeCell ref="H15:J15"/>
    <mergeCell ref="C6:E8"/>
    <mergeCell ref="K11:L11"/>
    <mergeCell ref="C5:E5"/>
    <mergeCell ref="H14:J14"/>
  </mergeCells>
  <phoneticPr fontId="18" type="noConversion"/>
  <pageMargins left="0.75" right="0.75" top="1" bottom="1" header="0.5" footer="0.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L17"/>
  <sheetViews>
    <sheetView workbookViewId="0"/>
  </sheetViews>
  <sheetFormatPr defaultRowHeight="15.75"/>
  <cols>
    <col min="1" max="1" width="3" customWidth="1"/>
    <col min="2" max="2" width="2.42578125" customWidth="1"/>
    <col min="3" max="3" width="18" customWidth="1"/>
    <col min="4" max="4" width="9.42578125" customWidth="1"/>
    <col min="5" max="5" width="8.42578125" customWidth="1"/>
    <col min="6" max="6" width="11.42578125" customWidth="1"/>
    <col min="7" max="7" width="8.42578125" customWidth="1"/>
    <col min="8" max="8" width="5.42578125" customWidth="1"/>
    <col min="9" max="9" width="8" customWidth="1"/>
    <col min="10" max="10" width="18" customWidth="1"/>
    <col min="11" max="11" width="2.42578125" customWidth="1"/>
    <col min="12" max="12" width="10.42578125" customWidth="1"/>
    <col min="13" max="13" width="3" customWidth="1"/>
  </cols>
  <sheetData>
    <row r="1" spans="2:12" ht="33.950000000000003" customHeight="1">
      <c r="B1" s="75" t="s">
        <v>87</v>
      </c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2:12" ht="24" customHeight="1">
      <c r="B2" s="26" t="s">
        <v>73</v>
      </c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2:12" ht="9.9499999999999993" customHeight="1"/>
    <row r="4" spans="2:12" ht="12" customHeight="1">
      <c r="B4" s="1"/>
      <c r="C4" s="2"/>
      <c r="D4" s="2"/>
      <c r="E4" s="2"/>
      <c r="F4" s="2"/>
      <c r="G4" s="2"/>
      <c r="H4" s="2"/>
      <c r="I4" s="2"/>
      <c r="J4" s="2"/>
      <c r="K4" s="3"/>
    </row>
    <row r="5" spans="2:12" ht="24" customHeight="1">
      <c r="B5" s="4"/>
      <c r="C5" s="30" t="s">
        <v>88</v>
      </c>
      <c r="D5" s="31"/>
      <c r="E5" s="32"/>
      <c r="F5" s="47" t="s">
        <v>3</v>
      </c>
      <c r="G5" s="41" t="s">
        <v>4</v>
      </c>
      <c r="H5" s="42"/>
      <c r="I5" s="30" t="s">
        <v>89</v>
      </c>
      <c r="J5" s="32"/>
      <c r="K5" s="5"/>
    </row>
    <row r="6" spans="2:12" ht="68.099999999999994" customHeight="1">
      <c r="B6" s="4"/>
      <c r="C6" s="89" t="s">
        <v>90</v>
      </c>
      <c r="D6" s="90"/>
      <c r="E6" s="91"/>
      <c r="F6" s="48"/>
      <c r="G6" s="43"/>
      <c r="H6" s="44"/>
      <c r="I6" s="37" t="s">
        <v>91</v>
      </c>
      <c r="J6" s="38"/>
      <c r="K6" s="5"/>
    </row>
    <row r="7" spans="2:12" ht="44.1" customHeight="1">
      <c r="B7" s="4"/>
      <c r="C7" s="92"/>
      <c r="D7" s="93"/>
      <c r="E7" s="94"/>
      <c r="F7" s="48"/>
      <c r="G7" s="43"/>
      <c r="H7" s="44"/>
      <c r="I7" s="79"/>
      <c r="J7" s="80"/>
      <c r="K7" s="5"/>
    </row>
    <row r="8" spans="2:12" ht="44.1" customHeight="1">
      <c r="B8" s="4"/>
      <c r="C8" s="95"/>
      <c r="D8" s="96"/>
      <c r="E8" s="97"/>
      <c r="F8" s="49"/>
      <c r="G8" s="45"/>
      <c r="H8" s="46"/>
      <c r="I8" s="39"/>
      <c r="J8" s="40"/>
      <c r="K8" s="5"/>
    </row>
    <row r="9" spans="2:12" ht="9.9499999999999993" customHeight="1">
      <c r="B9" s="4"/>
      <c r="C9" s="6"/>
      <c r="D9" s="6"/>
      <c r="E9" s="59" t="s">
        <v>92</v>
      </c>
      <c r="F9" s="33"/>
      <c r="G9" s="34"/>
      <c r="H9" s="6"/>
      <c r="I9" s="6"/>
      <c r="J9" s="6"/>
      <c r="K9" s="5"/>
    </row>
    <row r="10" spans="2:12" ht="9.9499999999999993" customHeight="1">
      <c r="B10" s="4"/>
      <c r="C10" s="6"/>
      <c r="D10" s="6"/>
      <c r="E10" s="60"/>
      <c r="F10" s="61"/>
      <c r="G10" s="62"/>
      <c r="H10" s="6"/>
      <c r="I10" s="6"/>
      <c r="J10" s="67" t="s">
        <v>4</v>
      </c>
      <c r="K10" s="5"/>
    </row>
    <row r="11" spans="2:12" ht="72" customHeight="1">
      <c r="B11" s="4"/>
      <c r="C11" s="6"/>
      <c r="D11" s="6"/>
      <c r="E11" s="60"/>
      <c r="F11" s="61"/>
      <c r="G11" s="62"/>
      <c r="H11" s="6"/>
      <c r="I11" s="6"/>
      <c r="J11" s="68"/>
      <c r="K11" s="73" t="s">
        <v>93</v>
      </c>
      <c r="L11" s="74"/>
    </row>
    <row r="12" spans="2:12" ht="9.9499999999999993" customHeight="1">
      <c r="B12" s="4"/>
      <c r="C12" s="6"/>
      <c r="D12" s="6"/>
      <c r="E12" s="60"/>
      <c r="F12" s="61"/>
      <c r="G12" s="62"/>
      <c r="H12" s="6"/>
      <c r="I12" s="6"/>
      <c r="J12" s="69"/>
      <c r="K12" s="5"/>
    </row>
    <row r="13" spans="2:12" ht="9.9499999999999993" customHeight="1">
      <c r="B13" s="4"/>
      <c r="C13" s="6"/>
      <c r="D13" s="6"/>
      <c r="E13" s="60"/>
      <c r="F13" s="61"/>
      <c r="G13" s="62"/>
      <c r="H13" s="6"/>
      <c r="I13" s="6"/>
      <c r="J13" s="6"/>
      <c r="K13" s="5"/>
    </row>
    <row r="14" spans="2:12" ht="24" customHeight="1">
      <c r="B14" s="4"/>
      <c r="C14" s="84" t="s">
        <v>94</v>
      </c>
      <c r="D14" s="85"/>
      <c r="E14" s="60" t="s">
        <v>95</v>
      </c>
      <c r="F14" s="61"/>
      <c r="G14" s="62"/>
      <c r="H14" s="30" t="s">
        <v>96</v>
      </c>
      <c r="I14" s="31"/>
      <c r="J14" s="32"/>
      <c r="K14" s="5"/>
    </row>
    <row r="15" spans="2:12" ht="140.1" customHeight="1">
      <c r="B15" s="4"/>
      <c r="C15" s="98" t="s">
        <v>97</v>
      </c>
      <c r="D15" s="99"/>
      <c r="E15" s="63"/>
      <c r="F15" s="35"/>
      <c r="G15" s="36"/>
      <c r="H15" s="86" t="s">
        <v>98</v>
      </c>
      <c r="I15" s="87"/>
      <c r="J15" s="88"/>
      <c r="K15" s="5"/>
    </row>
    <row r="16" spans="2:12" ht="12" customHeight="1">
      <c r="B16" s="7"/>
      <c r="C16" s="8"/>
      <c r="D16" s="8"/>
      <c r="E16" s="8"/>
      <c r="F16" s="8"/>
      <c r="G16" s="8"/>
      <c r="H16" s="8"/>
      <c r="I16" s="8"/>
      <c r="J16" s="8"/>
      <c r="K16" s="9"/>
    </row>
    <row r="17" ht="18" customHeight="1"/>
  </sheetData>
  <mergeCells count="16">
    <mergeCell ref="H15:J15"/>
    <mergeCell ref="C6:E8"/>
    <mergeCell ref="K11:L11"/>
    <mergeCell ref="C5:E5"/>
    <mergeCell ref="C15:D15"/>
    <mergeCell ref="E14:G15"/>
    <mergeCell ref="H14:J14"/>
    <mergeCell ref="B1:L1"/>
    <mergeCell ref="B2:L2"/>
    <mergeCell ref="C14:D14"/>
    <mergeCell ref="I5:J5"/>
    <mergeCell ref="J10:J12"/>
    <mergeCell ref="E9:G13"/>
    <mergeCell ref="G5:H8"/>
    <mergeCell ref="I6:J8"/>
    <mergeCell ref="F5:F8"/>
  </mergeCells>
  <phoneticPr fontId="18" type="noConversion"/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1F結構圖_方案A(橫向貫穿)</vt:lpstr>
      <vt:lpstr>1F結構圖_方案B(前棟穿堂貫穿)</vt:lpstr>
      <vt:lpstr>1F結構圖_方案C(全貫穿)</vt:lpstr>
      <vt:lpstr>行政大樓1樓空間明細表</vt:lpstr>
      <vt:lpstr>行政大樓2樓結構圖</vt:lpstr>
      <vt:lpstr>行政大樓3樓結構圖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coolokey coolokey</cp:lastModifiedBy>
  <dcterms:created xsi:type="dcterms:W3CDTF">2026-10-17T12:30:29Z</dcterms:created>
  <dcterms:modified xsi:type="dcterms:W3CDTF">2026-10-17T12:33:13Z</dcterms:modified>
</cp:coreProperties>
</file>